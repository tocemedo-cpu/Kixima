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Back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2A4A"/>
      <sz val="18"/>
    </font>
    <font>
      <name val="Arial"/>
      <i val="1"/>
      <color rgb="00B8862E"/>
      <sz val="12"/>
    </font>
    <font>
      <name val="Arial"/>
      <b val="1"/>
      <sz val="11"/>
    </font>
    <font>
      <name val="Arial"/>
      <sz val="11"/>
    </font>
    <font>
      <name val="Arial"/>
      <i val="1"/>
      <sz val="11"/>
    </font>
    <font>
      <name val="Arial"/>
      <b val="1"/>
      <color rgb="00006100"/>
      <sz val="11"/>
    </font>
    <font>
      <name val="Arial"/>
      <b val="1"/>
      <color rgb="009C6500"/>
      <sz val="11"/>
    </font>
    <font>
      <name val="Arial"/>
      <b val="1"/>
      <color rgb="009C0006"/>
      <sz val="11"/>
    </font>
    <font>
      <name val="Arial"/>
      <b val="1"/>
      <color rgb="001B2A4A"/>
      <sz val="12"/>
    </font>
    <font>
      <name val="Arial"/>
      <b val="1"/>
      <color rgb="00FFFFFF"/>
    </font>
    <font>
      <name val="Arial"/>
      <b val="1"/>
      <sz val="10"/>
    </font>
    <font>
      <name val="Arial"/>
      <b val="1"/>
      <color rgb="001B2A4A"/>
      <sz val="10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  <border>
      <top style="thin">
        <color rgb="001B2A4A"/>
      </top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8" fillId="3" borderId="0" pivotButton="0" quotePrefix="0" xfId="0"/>
    <xf numFmtId="164" fontId="7" fillId="0" borderId="0" pivotButton="0" quotePrefix="0" xfId="0"/>
    <xf numFmtId="0" fontId="9" fillId="4" borderId="0" pivotButton="0" quotePrefix="0" xfId="0"/>
    <xf numFmtId="0" fontId="10" fillId="5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12" fillId="2" borderId="0" applyAlignment="1" pivotButton="0" quotePrefix="0" xfId="0">
      <alignment horizontal="center"/>
    </xf>
    <xf numFmtId="0" fontId="13" fillId="0" borderId="0" pivotButton="0" quotePrefix="0" xfId="0"/>
    <xf numFmtId="9" fontId="13" fillId="0" borderId="0" pivotButton="0" quotePrefix="0" xfId="0"/>
    <xf numFmtId="0" fontId="14" fillId="0" borderId="2" pivotButton="0" quotePrefix="0" xfId="0"/>
    <xf numFmtId="0" fontId="13" fillId="0" borderId="2" pivotButton="0" quotePrefix="0" xfId="0"/>
    <xf numFmtId="9" fontId="13" fillId="0" borderId="2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</cellXfs>
  <cellStyles count="1">
    <cellStyle name="Normal" xfId="0" builtinId="0" hidden="0"/>
  </cellStyles>
  <dxfs count="4">
    <dxf>
      <font>
        <name val="Arial"/>
        <b val="1"/>
        <color rgb="00006100"/>
      </font>
      <fill>
        <patternFill patternType="solid">
          <fgColor rgb="00C6EFCE"/>
        </patternFill>
      </fill>
    </dxf>
    <dxf>
      <font>
        <name val="Arial"/>
        <b val="1"/>
        <color rgb="009C6500"/>
      </font>
      <fill>
        <patternFill patternType="solid">
          <fgColor rgb="00FFEB9C"/>
        </patternFill>
      </fill>
    </dxf>
    <dxf>
      <font>
        <name val="Arial"/>
        <b val="1"/>
        <color rgb="009C0006"/>
      </font>
      <fill>
        <patternFill patternType="solid">
          <fgColor rgb="00FFC7CE"/>
        </patternFill>
      </fill>
    </dxf>
    <dxf>
      <font>
        <name val="Arial"/>
        <color rgb="009C65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acklog" displayName="Backlog" ref="A1:F71" headerRowCount="1">
  <autoFilter ref="A1:F71"/>
  <tableColumns count="6">
    <tableColumn id="1" name="Nº"/>
    <tableColumn id="2" name="Sprint"/>
    <tableColumn id="3" name="Item do Backlog"/>
    <tableColumn id="4" name="Estado"/>
    <tableColumn id="5" name="Prioridade"/>
    <tableColumn id="6" name="Notas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11" customWidth="1" min="3" max="3"/>
    <col width="11" customWidth="1" min="4" max="4"/>
    <col width="11" customWidth="1" min="5" max="5"/>
    <col width="9" customWidth="1" min="6" max="6"/>
    <col width="13" customWidth="1" min="7" max="7"/>
  </cols>
  <sheetData>
    <row r="2">
      <c r="B2" s="1" t="inlineStr">
        <is>
          <t>KIXIMA — Product Backlog</t>
        </is>
      </c>
    </row>
    <row r="3">
      <c r="B3" s="2" t="inlineStr">
        <is>
          <t>Um único backlog, organizado por Sprint</t>
        </is>
      </c>
    </row>
    <row r="5">
      <c r="B5" s="3" t="inlineStr">
        <is>
          <t>Total de itens</t>
        </is>
      </c>
      <c r="C5" s="3">
        <f>COUNTA(Backlog!A2:A71)</f>
        <v/>
      </c>
    </row>
    <row r="6">
      <c r="B6" s="4" t="inlineStr">
        <is>
          <t>Concluído</t>
        </is>
      </c>
      <c r="C6" s="3">
        <f>COUNTIF(Backlog!D2:D71,"Concluído")</f>
        <v/>
      </c>
      <c r="D6" s="5">
        <f>C6/$C$5</f>
        <v/>
      </c>
    </row>
    <row r="7">
      <c r="B7" s="6" t="inlineStr">
        <is>
          <t>Em Curso</t>
        </is>
      </c>
      <c r="C7" s="3">
        <f>COUNTIF(Backlog!D2:D71,"Em Curso")</f>
        <v/>
      </c>
      <c r="D7" s="5">
        <f>C7/$C$5</f>
        <v/>
      </c>
    </row>
    <row r="8">
      <c r="B8" s="7" t="inlineStr">
        <is>
          <t>Pendente</t>
        </is>
      </c>
      <c r="C8" s="3">
        <f>COUNTIF(Backlog!D2:D71,"Pendente")</f>
        <v/>
      </c>
      <c r="D8" s="5">
        <f>C8/$C$5</f>
        <v/>
      </c>
    </row>
    <row r="10">
      <c r="B10" s="8" t="inlineStr">
        <is>
          <t>Pendentes por prioridade</t>
        </is>
      </c>
    </row>
    <row r="11">
      <c r="B11" s="9" t="inlineStr">
        <is>
          <t>Alta</t>
        </is>
      </c>
      <c r="C11" s="9">
        <f>COUNTIFS(Backlog!D2:D71,"Pendente",Backlog!E2:E71,"Alta")</f>
        <v/>
      </c>
    </row>
    <row r="12">
      <c r="B12" s="9" t="inlineStr">
        <is>
          <t>Média</t>
        </is>
      </c>
      <c r="C12" s="9">
        <f>COUNTIFS(Backlog!D2:D71,"Pendente",Backlog!E2:E71,"Média")</f>
        <v/>
      </c>
    </row>
    <row r="13">
      <c r="B13" s="9" t="inlineStr">
        <is>
          <t>Baixa</t>
        </is>
      </c>
      <c r="C13" s="9">
        <f>COUNTIFS(Backlog!D2:D71,"Pendente",Backlog!E2:E71,"Baixa")</f>
        <v/>
      </c>
    </row>
    <row r="15">
      <c r="B15" s="8" t="inlineStr">
        <is>
          <t>Progresso por Sprint</t>
        </is>
      </c>
    </row>
    <row r="16">
      <c r="B16" s="10" t="inlineStr">
        <is>
          <t>Sprint</t>
        </is>
      </c>
      <c r="C16" s="10" t="inlineStr">
        <is>
          <t>Concluído</t>
        </is>
      </c>
      <c r="D16" s="10" t="inlineStr">
        <is>
          <t>Em Curso</t>
        </is>
      </c>
      <c r="E16" s="10" t="inlineStr">
        <is>
          <t>Pendente</t>
        </is>
      </c>
      <c r="F16" s="10" t="inlineStr">
        <is>
          <t>Total</t>
        </is>
      </c>
      <c r="G16" s="10" t="inlineStr">
        <is>
          <t>% Progresso</t>
        </is>
      </c>
    </row>
    <row r="17">
      <c r="B17" s="9" t="inlineStr">
        <is>
          <t>Sprint 1 — Núcleo do Marketplace</t>
        </is>
      </c>
      <c r="C17" s="9">
        <f>COUNTIFS(Backlog!$B$2:$B$71,$B17,Backlog!$D$2:$D$71,"Concluído")</f>
        <v/>
      </c>
      <c r="D17" s="9">
        <f>COUNTIFS(Backlog!$B$2:$B$71,$B17,Backlog!$D$2:$D$71,"Em Curso")</f>
        <v/>
      </c>
      <c r="E17" s="9">
        <f>COUNTIFS(Backlog!$B$2:$B$71,$B17,Backlog!$D$2:$D$71,"Pendente")</f>
        <v/>
      </c>
      <c r="F17" s="11">
        <f>C17+D17+E17</f>
        <v/>
      </c>
      <c r="G17" s="12">
        <f>C17/F17</f>
        <v/>
      </c>
    </row>
    <row r="18">
      <c r="B18" s="9" t="inlineStr">
        <is>
          <t>Sprint 2 — Segurança &amp; Controlo de Acesso</t>
        </is>
      </c>
      <c r="C18" s="9">
        <f>COUNTIFS(Backlog!$B$2:$B$71,$B18,Backlog!$D$2:$D$71,"Concluído")</f>
        <v/>
      </c>
      <c r="D18" s="9">
        <f>COUNTIFS(Backlog!$B$2:$B$71,$B18,Backlog!$D$2:$D$71,"Em Curso")</f>
        <v/>
      </c>
      <c r="E18" s="9">
        <f>COUNTIFS(Backlog!$B$2:$B$71,$B18,Backlog!$D$2:$D$71,"Pendente")</f>
        <v/>
      </c>
      <c r="F18" s="11">
        <f>C18+D18+E18</f>
        <v/>
      </c>
      <c r="G18" s="12">
        <f>C18/F18</f>
        <v/>
      </c>
    </row>
    <row r="19">
      <c r="B19" s="9" t="inlineStr">
        <is>
          <t>Sprint 3 — Suporte &amp; Confiança</t>
        </is>
      </c>
      <c r="C19" s="9">
        <f>COUNTIFS(Backlog!$B$2:$B$71,$B19,Backlog!$D$2:$D$71,"Concluído")</f>
        <v/>
      </c>
      <c r="D19" s="9">
        <f>COUNTIFS(Backlog!$B$2:$B$71,$B19,Backlog!$D$2:$D$71,"Em Curso")</f>
        <v/>
      </c>
      <c r="E19" s="9">
        <f>COUNTIFS(Backlog!$B$2:$B$71,$B19,Backlog!$D$2:$D$71,"Pendente")</f>
        <v/>
      </c>
      <c r="F19" s="11">
        <f>C19+D19+E19</f>
        <v/>
      </c>
      <c r="G19" s="12">
        <f>C19/F19</f>
        <v/>
      </c>
    </row>
    <row r="20">
      <c r="B20" s="9" t="inlineStr">
        <is>
          <t>Sprint 4 — Ordens de Compra</t>
        </is>
      </c>
      <c r="C20" s="9">
        <f>COUNTIFS(Backlog!$B$2:$B$71,$B20,Backlog!$D$2:$D$71,"Concluído")</f>
        <v/>
      </c>
      <c r="D20" s="9">
        <f>COUNTIFS(Backlog!$B$2:$B$71,$B20,Backlog!$D$2:$D$71,"Em Curso")</f>
        <v/>
      </c>
      <c r="E20" s="9">
        <f>COUNTIFS(Backlog!$B$2:$B$71,$B20,Backlog!$D$2:$D$71,"Pendente")</f>
        <v/>
      </c>
      <c r="F20" s="11">
        <f>C20+D20+E20</f>
        <v/>
      </c>
      <c r="G20" s="12">
        <f>C20/F20</f>
        <v/>
      </c>
    </row>
    <row r="21">
      <c r="B21" s="9" t="inlineStr">
        <is>
          <t>Sprint 5 — Subscrições &amp; Pagamentos</t>
        </is>
      </c>
      <c r="C21" s="9">
        <f>COUNTIFS(Backlog!$B$2:$B$71,$B21,Backlog!$D$2:$D$71,"Concluído")</f>
        <v/>
      </c>
      <c r="D21" s="9">
        <f>COUNTIFS(Backlog!$B$2:$B$71,$B21,Backlog!$D$2:$D$71,"Em Curso")</f>
        <v/>
      </c>
      <c r="E21" s="9">
        <f>COUNTIFS(Backlog!$B$2:$B$71,$B21,Backlog!$D$2:$D$71,"Pendente")</f>
        <v/>
      </c>
      <c r="F21" s="11">
        <f>C21+D21+E21</f>
        <v/>
      </c>
      <c r="G21" s="12">
        <f>C21/F21</f>
        <v/>
      </c>
    </row>
    <row r="22">
      <c r="B22" s="9" t="inlineStr">
        <is>
          <t>Sprint 6 — Faturação &amp; Fiscalidade (AGT)</t>
        </is>
      </c>
      <c r="C22" s="9">
        <f>COUNTIFS(Backlog!$B$2:$B$71,$B22,Backlog!$D$2:$D$71,"Concluído")</f>
        <v/>
      </c>
      <c r="D22" s="9">
        <f>COUNTIFS(Backlog!$B$2:$B$71,$B22,Backlog!$D$2:$D$71,"Em Curso")</f>
        <v/>
      </c>
      <c r="E22" s="9">
        <f>COUNTIFS(Backlog!$B$2:$B$71,$B22,Backlog!$D$2:$D$71,"Pendente")</f>
        <v/>
      </c>
      <c r="F22" s="11">
        <f>C22+D22+E22</f>
        <v/>
      </c>
      <c r="G22" s="12">
        <f>C22/F22</f>
        <v/>
      </c>
    </row>
    <row r="23">
      <c r="B23" s="9" t="inlineStr">
        <is>
          <t>Sprint 7 — Página Institucional &amp; Marketing</t>
        </is>
      </c>
      <c r="C23" s="9">
        <f>COUNTIFS(Backlog!$B$2:$B$71,$B23,Backlog!$D$2:$D$71,"Concluído")</f>
        <v/>
      </c>
      <c r="D23" s="9">
        <f>COUNTIFS(Backlog!$B$2:$B$71,$B23,Backlog!$D$2:$D$71,"Em Curso")</f>
        <v/>
      </c>
      <c r="E23" s="9">
        <f>COUNTIFS(Backlog!$B$2:$B$71,$B23,Backlog!$D$2:$D$71,"Pendente")</f>
        <v/>
      </c>
      <c r="F23" s="11">
        <f>C23+D23+E23</f>
        <v/>
      </c>
      <c r="G23" s="12">
        <f>C23/F23</f>
        <v/>
      </c>
    </row>
    <row r="24">
      <c r="B24" s="9" t="inlineStr">
        <is>
          <t>Sprint 8 — Documentação</t>
        </is>
      </c>
      <c r="C24" s="9">
        <f>COUNTIFS(Backlog!$B$2:$B$71,$B24,Backlog!$D$2:$D$71,"Concluído")</f>
        <v/>
      </c>
      <c r="D24" s="9">
        <f>COUNTIFS(Backlog!$B$2:$B$71,$B24,Backlog!$D$2:$D$71,"Em Curso")</f>
        <v/>
      </c>
      <c r="E24" s="9">
        <f>COUNTIFS(Backlog!$B$2:$B$71,$B24,Backlog!$D$2:$D$71,"Pendente")</f>
        <v/>
      </c>
      <c r="F24" s="11">
        <f>C24+D24+E24</f>
        <v/>
      </c>
      <c r="G24" s="12">
        <f>C24/F24</f>
        <v/>
      </c>
    </row>
    <row r="25">
      <c r="B25" s="9" t="inlineStr">
        <is>
          <t>Sprint 9 — Ambiente de Teste &amp; Lançamento</t>
        </is>
      </c>
      <c r="C25" s="9">
        <f>COUNTIFS(Backlog!$B$2:$B$71,$B25,Backlog!$D$2:$D$71,"Concluído")</f>
        <v/>
      </c>
      <c r="D25" s="9">
        <f>COUNTIFS(Backlog!$B$2:$B$71,$B25,Backlog!$D$2:$D$71,"Em Curso")</f>
        <v/>
      </c>
      <c r="E25" s="9">
        <f>COUNTIFS(Backlog!$B$2:$B$71,$B25,Backlog!$D$2:$D$71,"Pendente")</f>
        <v/>
      </c>
      <c r="F25" s="11">
        <f>C25+D25+E25</f>
        <v/>
      </c>
      <c r="G25" s="12">
        <f>C25/F25</f>
        <v/>
      </c>
    </row>
    <row r="26">
      <c r="B26" s="13" t="inlineStr">
        <is>
          <t>TOTAL</t>
        </is>
      </c>
      <c r="C26" s="14">
        <f>SUM(C17:C25)</f>
        <v/>
      </c>
      <c r="D26" s="14">
        <f>SUM(D17:D25)</f>
        <v/>
      </c>
      <c r="E26" s="14">
        <f>SUM(E17:E25)</f>
        <v/>
      </c>
      <c r="F26" s="14">
        <f>SUM(F17:F25)</f>
        <v/>
      </c>
      <c r="G26" s="15">
        <f>C26/F26</f>
        <v/>
      </c>
    </row>
  </sheetData>
  <conditionalFormatting sqref="G17:G25">
    <cfRule type="dataBar" priority="1">
      <dataBar>
        <cfvo type="num" val="0"/>
        <cfvo type="num" val="1"/>
        <color rgb="0063BE7B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2" customWidth="1" min="3" max="3"/>
    <col width="13" customWidth="1" min="4" max="4"/>
    <col width="11" customWidth="1" min="5" max="5"/>
    <col width="46" customWidth="1" min="6" max="6"/>
  </cols>
  <sheetData>
    <row r="1">
      <c r="A1" s="16" t="inlineStr">
        <is>
          <t>Nº</t>
        </is>
      </c>
      <c r="B1" s="16" t="inlineStr">
        <is>
          <t>Sprint</t>
        </is>
      </c>
      <c r="C1" s="16" t="inlineStr">
        <is>
          <t>Item do Backlog</t>
        </is>
      </c>
      <c r="D1" s="16" t="inlineStr">
        <is>
          <t>Estado</t>
        </is>
      </c>
      <c r="E1" s="16" t="inlineStr">
        <is>
          <t>Prioridade</t>
        </is>
      </c>
      <c r="F1" s="16" t="inlineStr">
        <is>
          <t>Notas</t>
        </is>
      </c>
    </row>
    <row r="2">
      <c r="A2" s="17" t="n">
        <v>1</v>
      </c>
      <c r="B2" s="18" t="inlineStr">
        <is>
          <t>Sprint 1 — Núcleo do Marketplace</t>
        </is>
      </c>
      <c r="C2" s="18" t="inlineStr">
        <is>
          <t>Catálogo de produtos e serviços (fornecedor publica, comprador explora e compara)</t>
        </is>
      </c>
      <c r="D2" s="19" t="inlineStr">
        <is>
          <t>Concluído</t>
        </is>
      </c>
      <c r="E2" s="19" t="inlineStr">
        <is>
          <t>—</t>
        </is>
      </c>
      <c r="F2" s="18" t="inlineStr">
        <is>
          <t>Inclui kits, importação em massa via Excel (plano PRO) e API de sincronização de preço/stock.</t>
        </is>
      </c>
    </row>
    <row r="3">
      <c r="A3" s="17" t="n">
        <v>2</v>
      </c>
      <c r="B3" s="18" t="inlineStr">
        <is>
          <t>Sprint 1 — Núcleo do Marketplace</t>
        </is>
      </c>
      <c r="C3" s="18" t="inlineStr">
        <is>
          <t>Cotações (RFQ) entre comprador e fornecedor</t>
        </is>
      </c>
      <c r="D3" s="19" t="inlineStr">
        <is>
          <t>Concluído</t>
        </is>
      </c>
      <c r="E3" s="19" t="inlineStr">
        <is>
          <t>—</t>
        </is>
      </c>
      <c r="F3" s="18" t="inlineStr">
        <is>
          <t>Pedido → resposta com preço/prazo → fecho pelo comprador.</t>
        </is>
      </c>
    </row>
    <row r="4">
      <c r="A4" s="17" t="n">
        <v>3</v>
      </c>
      <c r="B4" s="18" t="inlineStr">
        <is>
          <t>Sprint 1 — Núcleo do Marketplace</t>
        </is>
      </c>
      <c r="C4" s="18" t="inlineStr">
        <is>
          <t>Ciclo completo de Ordens de Compra</t>
        </is>
      </c>
      <c r="D4" s="19" t="inlineStr">
        <is>
          <t>Concluído</t>
        </is>
      </c>
      <c r="E4" s="19" t="inlineStr">
        <is>
          <t>—</t>
        </is>
      </c>
      <c r="F4" s="18" t="inlineStr">
        <is>
          <t>Aprovação, aceitação, pagamento, execução, entrega, receção e resolução de divergências — 11 estados.</t>
        </is>
      </c>
    </row>
    <row r="5">
      <c r="A5" s="17" t="n">
        <v>4</v>
      </c>
      <c r="B5" s="18" t="inlineStr">
        <is>
          <t>Sprint 1 — Núcleo do Marketplace</t>
        </is>
      </c>
      <c r="C5" s="18" t="inlineStr">
        <is>
          <t>Contratos-quadro e encomendas avulsas (call-offs)</t>
        </is>
      </c>
      <c r="D5" s="19" t="inlineStr">
        <is>
          <t>Concluído</t>
        </is>
      </c>
      <c r="E5" s="19" t="inlineStr">
        <is>
          <t>—</t>
        </is>
      </c>
      <c r="F5" s="18" t="inlineStr">
        <is>
          <t>Deteção automática no checkout + faturação consolidada periódica (plano PRO).</t>
        </is>
      </c>
    </row>
    <row r="6">
      <c r="A6" s="17" t="n">
        <v>5</v>
      </c>
      <c r="B6" s="18" t="inlineStr">
        <is>
          <t>Sprint 1 — Núcleo do Marketplace</t>
        </is>
      </c>
      <c r="C6" s="18" t="inlineStr">
        <is>
          <t>Cadastro e aprovação de empresas (due diligence documental)</t>
        </is>
      </c>
      <c r="D6" s="19" t="inlineStr">
        <is>
          <t>Concluído</t>
        </is>
      </c>
      <c r="E6" s="19" t="inlineStr">
        <is>
          <t>—</t>
        </is>
      </c>
      <c r="F6" s="18" t="inlineStr">
        <is>
          <t>Documentos por tipo de empresa (Cliente/Fornecedora) + apólice obrigatória para fornecedores.</t>
        </is>
      </c>
    </row>
    <row r="7">
      <c r="A7" s="17" t="n">
        <v>6</v>
      </c>
      <c r="B7" s="18" t="inlineStr">
        <is>
          <t>Sprint 1 — Núcleo do Marketplace</t>
        </is>
      </c>
      <c r="C7" s="18" t="inlineStr">
        <is>
          <t>Gestão de utilizadores, convites e perfis por empresa</t>
        </is>
      </c>
      <c r="D7" s="19" t="inlineStr">
        <is>
          <t>Concluído</t>
        </is>
      </c>
      <c r="E7" s="19" t="inlineStr">
        <is>
          <t>—</t>
        </is>
      </c>
      <c r="F7" s="18" t="inlineStr">
        <is>
          <t>Perfis: Comprador, Company Admin, Fornecedor, Financeiro.</t>
        </is>
      </c>
    </row>
    <row r="8">
      <c r="A8" s="17" t="n">
        <v>7</v>
      </c>
      <c r="B8" s="18" t="inlineStr">
        <is>
          <t>Sprint 1 — Núcleo do Marketplace</t>
        </is>
      </c>
      <c r="C8" s="18" t="inlineStr">
        <is>
          <t>Painel do Admin do Sistema (empresas, apólices, contratos, taxas, planos)</t>
        </is>
      </c>
      <c r="D8" s="19" t="inlineStr">
        <is>
          <t>Concluído</t>
        </is>
      </c>
      <c r="E8" s="19" t="inlineStr">
        <is>
          <t>—</t>
        </is>
      </c>
      <c r="F8" s="18" t="inlineStr">
        <is>
          <t>—</t>
        </is>
      </c>
    </row>
    <row r="9">
      <c r="A9" s="17" t="n">
        <v>8</v>
      </c>
      <c r="B9" s="18" t="inlineStr">
        <is>
          <t>Sprint 1 — Núcleo do Marketplace</t>
        </is>
      </c>
      <c r="C9" s="18" t="inlineStr">
        <is>
          <t>Auditoria (trilho append-only de todas as ações)</t>
        </is>
      </c>
      <c r="D9" s="19" t="inlineStr">
        <is>
          <t>Concluído</t>
        </is>
      </c>
      <c r="E9" s="19" t="inlineStr">
        <is>
          <t>—</t>
        </is>
      </c>
      <c r="F9" s="18" t="inlineStr">
        <is>
          <t>Nunca editável/apagável; ator desnormalizado sobrevive à remoção da conta.</t>
        </is>
      </c>
    </row>
    <row r="10">
      <c r="A10" s="17" t="n">
        <v>9</v>
      </c>
      <c r="B10" s="18" t="inlineStr">
        <is>
          <t>Sprint 1 — Núcleo do Marketplace</t>
        </is>
      </c>
      <c r="C10" s="18" t="inlineStr">
        <is>
          <t>Apólices de seguro (Fornecedor→KIXIMA e KIXIMA→Cliente)</t>
        </is>
      </c>
      <c r="D10" s="19" t="inlineStr">
        <is>
          <t>Concluído</t>
        </is>
      </c>
      <c r="E10" s="19" t="inlineStr">
        <is>
          <t>—</t>
        </is>
      </c>
      <c r="F10" s="18" t="inlineStr">
        <is>
          <t>Condição de credenciamento para fornecedores.</t>
        </is>
      </c>
    </row>
    <row r="11">
      <c r="A11" s="17" t="n">
        <v>10</v>
      </c>
      <c r="B11" s="18" t="inlineStr">
        <is>
          <t>Sprint 2 — Segurança &amp; Controlo de Acesso</t>
        </is>
      </c>
      <c r="C11" s="18" t="inlineStr">
        <is>
          <t>Autenticação de dois fatores (2FA) — email ou aplicação (TOTP)</t>
        </is>
      </c>
      <c r="D11" s="19" t="inlineStr">
        <is>
          <t>Concluído</t>
        </is>
      </c>
      <c r="E11" s="19" t="inlineStr">
        <is>
          <t>—</t>
        </is>
      </c>
      <c r="F11" s="18" t="inlineStr">
        <is>
          <t>Obrigatória para Company Admin e Admin do Sistema.</t>
        </is>
      </c>
    </row>
    <row r="12">
      <c r="A12" s="17" t="n">
        <v>11</v>
      </c>
      <c r="B12" s="18" t="inlineStr">
        <is>
          <t>Sprint 2 — Segurança &amp; Controlo de Acesso</t>
        </is>
      </c>
      <c r="C12" s="18" t="inlineStr">
        <is>
          <t>Bloqueio progressivo de conta por tentativas falhadas de login</t>
        </is>
      </c>
      <c r="D12" s="19" t="inlineStr">
        <is>
          <t>Concluído</t>
        </is>
      </c>
      <c r="E12" s="19" t="inlineStr">
        <is>
          <t>—</t>
        </is>
      </c>
      <c r="F12" s="18" t="inlineStr">
        <is>
          <t>Por conta, nunca por IP — protege escritórios inteiros atrás do mesmo endereço.</t>
        </is>
      </c>
    </row>
    <row r="13">
      <c r="A13" s="17" t="n">
        <v>12</v>
      </c>
      <c r="B13" s="18" t="inlineStr">
        <is>
          <t>Sprint 2 — Segurança &amp; Controlo de Acesso</t>
        </is>
      </c>
      <c r="C13" s="18" t="inlineStr">
        <is>
          <t>Admin do Sistema dividido por 6 áreas de permissão + Super Admin</t>
        </is>
      </c>
      <c r="D13" s="19" t="inlineStr">
        <is>
          <t>Concluído</t>
        </is>
      </c>
      <c r="E13" s="19" t="inlineStr">
        <is>
          <t>—</t>
        </is>
      </c>
      <c r="F13" s="18" t="inlineStr">
        <is>
          <t>Cadastro, Financeiro, Faturação (AGT), Apólices, Suporte, Operação da Plataforma.</t>
        </is>
      </c>
    </row>
    <row r="14">
      <c r="A14" s="17" t="n">
        <v>13</v>
      </c>
      <c r="B14" s="18" t="inlineStr">
        <is>
          <t>Sprint 2 — Segurança &amp; Controlo de Acesso</t>
        </is>
      </c>
      <c r="C14" s="18" t="inlineStr">
        <is>
          <t>Convite e gestão de Administradores do Sistema (assessores)</t>
        </is>
      </c>
      <c r="D14" s="19" t="inlineStr">
        <is>
          <t>Concluído</t>
        </is>
      </c>
      <c r="E14" s="19" t="inlineStr">
        <is>
          <t>—</t>
        </is>
      </c>
      <c r="F14" s="18" t="inlineStr">
        <is>
          <t>Nunca cria um Super Admin por convite — exige pelo menos uma área.</t>
        </is>
      </c>
    </row>
    <row r="15">
      <c r="A15" s="17" t="n">
        <v>14</v>
      </c>
      <c r="B15" s="18" t="inlineStr">
        <is>
          <t>Sprint 2 — Segurança &amp; Controlo de Acesso</t>
        </is>
      </c>
      <c r="C15" s="18" t="inlineStr">
        <is>
          <t>Ecrã de Permissões (bloquear/desbloquear qualquer conta da plataforma)</t>
        </is>
      </c>
      <c r="D15" s="19" t="inlineStr">
        <is>
          <t>Concluído</t>
        </is>
      </c>
      <c r="E15" s="19" t="inlineStr">
        <is>
          <t>—</t>
        </is>
      </c>
      <c r="F15" s="18" t="inlineStr">
        <is>
          <t>—</t>
        </is>
      </c>
    </row>
    <row r="16">
      <c r="A16" s="17" t="n">
        <v>15</v>
      </c>
      <c r="B16" s="18" t="inlineStr">
        <is>
          <t>Sprint 3 — Suporte &amp; Confiança</t>
        </is>
      </c>
      <c r="C16" s="18" t="inlineStr">
        <is>
          <t>Chat de Suporte em tempo real (fila, atribuição, transferência, resolução)</t>
        </is>
      </c>
      <c r="D16" s="19" t="inlineStr">
        <is>
          <t>Concluído</t>
        </is>
      </c>
      <c r="E16" s="19" t="inlineStr">
        <is>
          <t>—</t>
        </is>
      </c>
      <c r="F16" s="18" t="inlineStr">
        <is>
          <t>Socket.IO autenticado, salas por conversa.</t>
        </is>
      </c>
    </row>
    <row r="17">
      <c r="A17" s="17" t="n">
        <v>16</v>
      </c>
      <c r="B17" s="18" t="inlineStr">
        <is>
          <t>Sprint 3 — Suporte &amp; Confiança</t>
        </is>
      </c>
      <c r="C17" s="18" t="inlineStr">
        <is>
          <t>Chat Comercial entre Comprador e Fornecedor</t>
        </is>
      </c>
      <c r="D17" s="19" t="inlineStr">
        <is>
          <t>Concluído</t>
        </is>
      </c>
      <c r="E17" s="19" t="inlineStr">
        <is>
          <t>—</t>
        </is>
      </c>
      <c r="F17" s="18" t="inlineStr">
        <is>
          <t>Com ou sem contexto (cotação/PO/contrato).</t>
        </is>
      </c>
    </row>
    <row r="18">
      <c r="A18" s="17" t="n">
        <v>17</v>
      </c>
      <c r="B18" s="18" t="inlineStr">
        <is>
          <t>Sprint 3 — Suporte &amp; Confiança</t>
        </is>
      </c>
      <c r="C18" s="18" t="inlineStr">
        <is>
          <t>Motor de Trust &amp; Safety (deteção de tentativa de negociar fora da plataforma)</t>
        </is>
      </c>
      <c r="D18" s="19" t="inlineStr">
        <is>
          <t>Concluído</t>
        </is>
      </c>
      <c r="E18" s="19" t="inlineStr">
        <is>
          <t>—</t>
        </is>
      </c>
      <c r="F18" s="18" t="inlineStr">
        <is>
          <t>6 sinais ponderados; acesso do Suporte a conversa sinalizada é sempre auditado.</t>
        </is>
      </c>
    </row>
    <row r="19">
      <c r="A19" s="17" t="n">
        <v>18</v>
      </c>
      <c r="B19" s="18" t="inlineStr">
        <is>
          <t>Sprint 3 — Suporte &amp; Confiança</t>
        </is>
      </c>
      <c r="C19" s="18" t="inlineStr">
        <is>
          <t>Central de Ajuda (FAQ, canais de contacto, estado do sistema)</t>
        </is>
      </c>
      <c r="D19" s="19" t="inlineStr">
        <is>
          <t>Concluído</t>
        </is>
      </c>
      <c r="E19" s="19" t="inlineStr">
        <is>
          <t>—</t>
        </is>
      </c>
      <c r="F19" s="18" t="inlineStr">
        <is>
          <t>—</t>
        </is>
      </c>
    </row>
    <row r="20">
      <c r="A20" s="17" t="n">
        <v>19</v>
      </c>
      <c r="B20" s="18" t="inlineStr">
        <is>
          <t>Sprint 3 — Suporte &amp; Confiança</t>
        </is>
      </c>
      <c r="C20" s="18" t="inlineStr">
        <is>
          <t>Sistema de Feedback e Avaliações (submissão, moderação, parede pública)</t>
        </is>
      </c>
      <c r="D20" s="19" t="inlineStr">
        <is>
          <t>Concluído</t>
        </is>
      </c>
      <c r="E20" s="19" t="inlineStr">
        <is>
          <t>—</t>
        </is>
      </c>
      <c r="F20" s="18" t="inlineStr">
        <is>
          <t>Alvo sempre validado contra o histórico real da empresa.</t>
        </is>
      </c>
    </row>
    <row r="21">
      <c r="A21" s="17" t="n">
        <v>20</v>
      </c>
      <c r="B21" s="18" t="inlineStr">
        <is>
          <t>Sprint 4 — Ordens de Compra</t>
        </is>
      </c>
      <c r="C21" s="18" t="inlineStr">
        <is>
          <t>Timeline auditável por ordem de compra (histórico completo de eventos)</t>
        </is>
      </c>
      <c r="D21" s="19" t="inlineStr">
        <is>
          <t>Concluído</t>
        </is>
      </c>
      <c r="E21" s="19" t="inlineStr">
        <is>
          <t>—</t>
        </is>
      </c>
      <c r="F21" s="18" t="inlineStr">
        <is>
          <t>Reaproveita o próprio trilho de auditoria.</t>
        </is>
      </c>
    </row>
    <row r="22">
      <c r="A22" s="17" t="n">
        <v>21</v>
      </c>
      <c r="B22" s="18" t="inlineStr">
        <is>
          <t>Sprint 4 — Ordens de Compra</t>
        </is>
      </c>
      <c r="C22" s="18" t="inlineStr">
        <is>
          <t>Notificações completas de todo o ciclo (criação → conclusão)</t>
        </is>
      </c>
      <c r="D22" s="19" t="inlineStr">
        <is>
          <t>Concluído</t>
        </is>
      </c>
      <c r="E22" s="19" t="inlineStr">
        <is>
          <t>—</t>
        </is>
      </c>
      <c r="F22" s="18" t="inlineStr">
        <is>
          <t>Antes faltavam avisos em vários passos intermédios.</t>
        </is>
      </c>
    </row>
    <row r="23">
      <c r="A23" s="17" t="n">
        <v>22</v>
      </c>
      <c r="B23" s="18" t="inlineStr">
        <is>
          <t>Sprint 4 — Ordens de Compra</t>
        </is>
      </c>
      <c r="C23" s="18" t="inlineStr">
        <is>
          <t>Estado intermédio "Aguardando Pagamento" entre aceite e pagamento</t>
        </is>
      </c>
      <c r="D23" s="19" t="inlineStr">
        <is>
          <t>Concluído</t>
        </is>
      </c>
      <c r="E23" s="19" t="inlineStr">
        <is>
          <t>—</t>
        </is>
      </c>
      <c r="F23" s="18" t="inlineStr">
        <is>
          <t>Estado do enum que existia mas nunca era usado.</t>
        </is>
      </c>
    </row>
    <row r="24">
      <c r="A24" s="17" t="n">
        <v>23</v>
      </c>
      <c r="B24" s="18" t="inlineStr">
        <is>
          <t>Sprint 5 — Subscrições &amp; Pagamentos</t>
        </is>
      </c>
      <c r="C24" s="18" t="inlineStr">
        <is>
          <t>Planos BASE / CORE / PRO com regras por dimensão de empresa (MPME)</t>
        </is>
      </c>
      <c r="D24" s="19" t="inlineStr">
        <is>
          <t>Concluído</t>
        </is>
      </c>
      <c r="E24" s="19" t="inlineStr">
        <is>
          <t>—</t>
        </is>
      </c>
      <c r="F24" s="18" t="inlineStr">
        <is>
          <t>—</t>
        </is>
      </c>
    </row>
    <row r="25">
      <c r="A25" s="17" t="n">
        <v>24</v>
      </c>
      <c r="B25" s="18" t="inlineStr">
        <is>
          <t>Sprint 5 — Subscrições &amp; Pagamentos</t>
        </is>
      </c>
      <c r="C25" s="18" t="inlineStr">
        <is>
          <t>Ciclo de vida da subscrição: grace period, avisos escalonados, restrição de funcionalidades</t>
        </is>
      </c>
      <c r="D25" s="19" t="inlineStr">
        <is>
          <t>Concluído</t>
        </is>
      </c>
      <c r="E25" s="19" t="inlineStr">
        <is>
          <t>—</t>
        </is>
      </c>
      <c r="F25" s="18" t="inlineStr">
        <is>
          <t>Nunca restringe dados/histórico — só funcionalidades premium.</t>
        </is>
      </c>
    </row>
    <row r="26">
      <c r="A26" s="17" t="n">
        <v>25</v>
      </c>
      <c r="B26" s="18" t="inlineStr">
        <is>
          <t>Sprint 5 — Subscrições &amp; Pagamentos</t>
        </is>
      </c>
      <c r="C26" s="18" t="inlineStr">
        <is>
          <t>Pagamento da subscrição por transferência bancária manual</t>
        </is>
      </c>
      <c r="D26" s="19" t="inlineStr">
        <is>
          <t>Concluído</t>
        </is>
      </c>
      <c r="E26" s="19" t="inlineStr">
        <is>
          <t>—</t>
        </is>
      </c>
      <c r="F26" s="18" t="inlineStr">
        <is>
          <t>Todos os planos, incl. PRO — confirmação humana do Admin do Sistema.</t>
        </is>
      </c>
    </row>
    <row r="27">
      <c r="A27" s="17" t="n">
        <v>26</v>
      </c>
      <c r="B27" s="18" t="inlineStr">
        <is>
          <t>Sprint 5 — Subscrições &amp; Pagamentos</t>
        </is>
      </c>
      <c r="C27" s="18" t="inlineStr">
        <is>
          <t>Pagamento automático da subscrição via EMIS/Multicaixa Express</t>
        </is>
      </c>
      <c r="D27" s="19" t="inlineStr">
        <is>
          <t>Concluído</t>
        </is>
      </c>
      <c r="E27" s="19" t="inlineStr">
        <is>
          <t>—</t>
        </is>
      </c>
      <c r="F27" s="18" t="inlineStr">
        <is>
          <t>Planos BASE/CORE. Recusa-se a simular sucesso sem credenciais reais.</t>
        </is>
      </c>
    </row>
    <row r="28">
      <c r="A28" s="17" t="n">
        <v>27</v>
      </c>
      <c r="B28" s="18" t="inlineStr">
        <is>
          <t>Sprint 5 — Subscrições &amp; Pagamentos</t>
        </is>
      </c>
      <c r="C28" s="18" t="inlineStr">
        <is>
          <t>Pagamento automático via PayPay, BAI, BFA, Standard Bank Angola (infraestrutura)</t>
        </is>
      </c>
      <c r="D28" s="19" t="inlineStr">
        <is>
          <t>Concluído</t>
        </is>
      </c>
      <c r="E28" s="19" t="inlineStr">
        <is>
          <t>—</t>
        </is>
      </c>
      <c r="F28" s="18" t="inlineStr">
        <is>
          <t>Adaptador genérico honesto — forma provável, por confirmar contra documentação real.</t>
        </is>
      </c>
    </row>
    <row r="29">
      <c r="A29" s="17" t="n">
        <v>28</v>
      </c>
      <c r="B29" s="18" t="inlineStr">
        <is>
          <t>Sprint 5 — Subscrições &amp; Pagamentos</t>
        </is>
      </c>
      <c r="C29" s="18" t="inlineStr">
        <is>
          <t>Conciliação bancária automática (referência única por fatura)</t>
        </is>
      </c>
      <c r="D29" s="19" t="inlineStr">
        <is>
          <t>Concluído</t>
        </is>
      </c>
      <c r="E29" s="19" t="inlineStr">
        <is>
          <t>—</t>
        </is>
      </c>
      <c r="F29" s="18" t="inlineStr">
        <is>
          <t>Nunca assume pagamento na dúvida — exige referência + valor + moeda exatos.</t>
        </is>
      </c>
    </row>
    <row r="30">
      <c r="A30" s="17" t="n">
        <v>29</v>
      </c>
      <c r="B30" s="18" t="inlineStr">
        <is>
          <t>Sprint 5 — Subscrições &amp; Pagamentos</t>
        </is>
      </c>
      <c r="C30" s="18" t="inlineStr">
        <is>
          <t>Taxa de serviço da plataforma (cálculo automático por transação)</t>
        </is>
      </c>
      <c r="D30" s="19" t="inlineStr">
        <is>
          <t>Concluído</t>
        </is>
      </c>
      <c r="E30" s="19" t="inlineStr">
        <is>
          <t>—</t>
        </is>
      </c>
      <c r="F30" s="18" t="inlineStr">
        <is>
          <t>Fixo até ao limiar, percentual acima.</t>
        </is>
      </c>
    </row>
    <row r="31">
      <c r="A31" s="17" t="n">
        <v>30</v>
      </c>
      <c r="B31" s="18" t="inlineStr">
        <is>
          <t>Sprint 5 — Subscrições &amp; Pagamentos</t>
        </is>
      </c>
      <c r="C31" s="18" t="inlineStr">
        <is>
          <t>Credenciais reais EMIS/Multicaixa Express</t>
        </is>
      </c>
      <c r="D31" s="19" t="inlineStr">
        <is>
          <t>Pendente</t>
        </is>
      </c>
      <c r="E31" s="19" t="inlineStr">
        <is>
          <t>Alta</t>
        </is>
      </c>
      <c r="F31" s="18" t="inlineStr">
        <is>
          <t>Depende de contrato comercial com a EMIS.</t>
        </is>
      </c>
    </row>
    <row r="32">
      <c r="A32" s="17" t="n">
        <v>31</v>
      </c>
      <c r="B32" s="18" t="inlineStr">
        <is>
          <t>Sprint 5 — Subscrições &amp; Pagamentos</t>
        </is>
      </c>
      <c r="C32" s="18" t="inlineStr">
        <is>
          <t>Credenciais reais PayPay</t>
        </is>
      </c>
      <c r="D32" s="19" t="inlineStr">
        <is>
          <t>Pendente</t>
        </is>
      </c>
      <c r="E32" s="19" t="inlineStr">
        <is>
          <t>Média</t>
        </is>
      </c>
      <c r="F32" s="18" t="inlineStr">
        <is>
          <t>Sem documentação pública da API — depende de acesso direto ao fornecedor.</t>
        </is>
      </c>
    </row>
    <row r="33">
      <c r="A33" s="17" t="n">
        <v>32</v>
      </c>
      <c r="B33" s="18" t="inlineStr">
        <is>
          <t>Sprint 5 — Subscrições &amp; Pagamentos</t>
        </is>
      </c>
      <c r="C33" s="18" t="inlineStr">
        <is>
          <t>Credenciais reais BAI</t>
        </is>
      </c>
      <c r="D33" s="19" t="inlineStr">
        <is>
          <t>Pendente</t>
        </is>
      </c>
      <c r="E33" s="19" t="inlineStr">
        <is>
          <t>Média</t>
        </is>
      </c>
      <c r="F33" s="18" t="inlineStr">
        <is>
          <t>Idem.</t>
        </is>
      </c>
    </row>
    <row r="34">
      <c r="A34" s="17" t="n">
        <v>33</v>
      </c>
      <c r="B34" s="18" t="inlineStr">
        <is>
          <t>Sprint 5 — Subscrições &amp; Pagamentos</t>
        </is>
      </c>
      <c r="C34" s="18" t="inlineStr">
        <is>
          <t>Credenciais reais BFA</t>
        </is>
      </c>
      <c r="D34" s="19" t="inlineStr">
        <is>
          <t>Pendente</t>
        </is>
      </c>
      <c r="E34" s="19" t="inlineStr">
        <is>
          <t>Média</t>
        </is>
      </c>
      <c r="F34" s="18" t="inlineStr">
        <is>
          <t>Idem.</t>
        </is>
      </c>
    </row>
    <row r="35">
      <c r="A35" s="17" t="n">
        <v>34</v>
      </c>
      <c r="B35" s="18" t="inlineStr">
        <is>
          <t>Sprint 5 — Subscrições &amp; Pagamentos</t>
        </is>
      </c>
      <c r="C35" s="18" t="inlineStr">
        <is>
          <t>Credenciais reais Standard Bank Angola</t>
        </is>
      </c>
      <c r="D35" s="19" t="inlineStr">
        <is>
          <t>Pendente</t>
        </is>
      </c>
      <c r="E35" s="19" t="inlineStr">
        <is>
          <t>Média</t>
        </is>
      </c>
      <c r="F35" s="18" t="inlineStr">
        <is>
          <t>Idem.</t>
        </is>
      </c>
    </row>
    <row r="36">
      <c r="A36" s="17" t="n">
        <v>35</v>
      </c>
      <c r="B36" s="18" t="inlineStr">
        <is>
          <t>Sprint 6 — Faturação &amp; Fiscalidade (AGT)</t>
        </is>
      </c>
      <c r="C36" s="18" t="inlineStr">
        <is>
          <t>Faturação certificada com série e cadeia de integridade por fornecedor</t>
        </is>
      </c>
      <c r="D36" s="19" t="inlineStr">
        <is>
          <t>Concluído</t>
        </is>
      </c>
      <c r="E36" s="19" t="inlineStr">
        <is>
          <t>—</t>
        </is>
      </c>
      <c r="F36" s="18" t="inlineStr">
        <is>
          <t>Substituiu uma série global única.</t>
        </is>
      </c>
    </row>
    <row r="37">
      <c r="A37" s="17" t="n">
        <v>36</v>
      </c>
      <c r="B37" s="18" t="inlineStr">
        <is>
          <t>Sprint 6 — Faturação &amp; Fiscalidade (AGT)</t>
        </is>
      </c>
      <c r="C37" s="18" t="inlineStr">
        <is>
          <t>Notas de Crédito (documento fiscal com série e cadeia próprias)</t>
        </is>
      </c>
      <c r="D37" s="19" t="inlineStr">
        <is>
          <t>Concluído</t>
        </is>
      </c>
      <c r="E37" s="19" t="inlineStr">
        <is>
          <t>—</t>
        </is>
      </c>
      <c r="F37" s="18" t="inlineStr">
        <is>
          <t>Emitidas só pelo fornecedor; valor nunca excede o saldo por creditar.</t>
        </is>
      </c>
    </row>
    <row r="38">
      <c r="A38" s="17" t="n">
        <v>37</v>
      </c>
      <c r="B38" s="18" t="inlineStr">
        <is>
          <t>Sprint 6 — Faturação &amp; Fiscalidade (AGT)</t>
        </is>
      </c>
      <c r="C38" s="18" t="inlineStr">
        <is>
          <t>Linhas de fatura com impostos discriminados (InvoiceLine)</t>
        </is>
      </c>
      <c r="D38" s="19" t="inlineStr">
        <is>
          <t>Concluído</t>
        </is>
      </c>
      <c r="E38" s="19" t="inlineStr">
        <is>
          <t>—</t>
        </is>
      </c>
      <c r="F38" s="18" t="inlineStr">
        <is>
          <t>Espelha o modelo oficial impresso da AGT (colunas IEC/IVA/Iselo).</t>
        </is>
      </c>
    </row>
    <row r="39">
      <c r="A39" s="17" t="n">
        <v>38</v>
      </c>
      <c r="B39" s="18" t="inlineStr">
        <is>
          <t>Sprint 6 — Faturação &amp; Fiscalidade (AGT)</t>
        </is>
      </c>
      <c r="C39" s="18" t="inlineStr">
        <is>
          <t>Recibo como documento fiscal certificado (série e cadeia próprias)</t>
        </is>
      </c>
      <c r="D39" s="19" t="inlineStr">
        <is>
          <t>Concluído</t>
        </is>
      </c>
      <c r="E39" s="19" t="inlineStr">
        <is>
          <t>—</t>
        </is>
      </c>
      <c r="F39" s="18" t="inlineStr">
        <is>
          <t>—</t>
        </is>
      </c>
    </row>
    <row r="40">
      <c r="A40" s="17" t="n">
        <v>39</v>
      </c>
      <c r="B40" s="18" t="inlineStr">
        <is>
          <t>Sprint 6 — Faturação &amp; Fiscalidade (AGT)</t>
        </is>
      </c>
      <c r="C40" s="18" t="inlineStr">
        <is>
          <t>Formato do número de documento conforme o exemplo oficial da AGT</t>
        </is>
      </c>
      <c r="D40" s="19" t="inlineStr">
        <is>
          <t>Concluído</t>
        </is>
      </c>
      <c r="E40" s="19" t="inlineStr">
        <is>
          <t>—</t>
        </is>
      </c>
      <c r="F40" s="18" t="inlineStr">
        <is>
          <t>"série.ano/0000001".</t>
        </is>
      </c>
    </row>
    <row r="41">
      <c r="A41" s="17" t="n">
        <v>40</v>
      </c>
      <c r="B41" s="18" t="inlineStr">
        <is>
          <t>Sprint 6 — Faturação &amp; Fiscalidade (AGT)</t>
        </is>
      </c>
      <c r="C41" s="18" t="inlineStr">
        <is>
          <t>Data de adesão à faturação eletrónica por empresa</t>
        </is>
      </c>
      <c r="D41" s="19" t="inlineStr">
        <is>
          <t>Concluído</t>
        </is>
      </c>
      <c r="E41" s="19" t="inlineStr">
        <is>
          <t>—</t>
        </is>
      </c>
      <c r="F41" s="18" t="inlineStr">
        <is>
          <t>Documentos anteriores à data são recusados.</t>
        </is>
      </c>
    </row>
    <row r="42">
      <c r="A42" s="17" t="n">
        <v>41</v>
      </c>
      <c r="B42" s="18" t="inlineStr">
        <is>
          <t>Sprint 6 — Faturação &amp; Fiscalidade (AGT)</t>
        </is>
      </c>
      <c r="C42" s="18" t="inlineStr">
        <is>
          <t>Exportação SAF-T com linhas por fatura</t>
        </is>
      </c>
      <c r="D42" s="19" t="inlineStr">
        <is>
          <t>Concluído</t>
        </is>
      </c>
      <c r="E42" s="19" t="inlineStr">
        <is>
          <t>—</t>
        </is>
      </c>
      <c r="F42" s="18" t="inlineStr">
        <is>
          <t>Corrigiu uma lacuna pré-existente (faltavam elementos &lt;Line&gt;).</t>
        </is>
      </c>
    </row>
    <row r="43">
      <c r="A43" s="17" t="n">
        <v>42</v>
      </c>
      <c r="B43" s="18" t="inlineStr">
        <is>
          <t>Sprint 6 — Faturação &amp; Fiscalidade (AGT)</t>
        </is>
      </c>
      <c r="C43" s="18" t="inlineStr">
        <is>
          <t>Verificação de integridade da cadeia de faturação</t>
        </is>
      </c>
      <c r="D43" s="19" t="inlineStr">
        <is>
          <t>Concluído</t>
        </is>
      </c>
      <c r="E43" s="19" t="inlineStr">
        <is>
          <t>—</t>
        </is>
      </c>
      <c r="F43" s="18" t="inlineStr">
        <is>
          <t>Deteta buracos na numeração e documentos alterados.</t>
        </is>
      </c>
    </row>
    <row r="44">
      <c r="A44" s="17" t="n">
        <v>43</v>
      </c>
      <c r="B44" s="18" t="inlineStr">
        <is>
          <t>Sprint 6 — Faturação &amp; Fiscalidade (AGT)</t>
        </is>
      </c>
      <c r="C44" s="18" t="inlineStr">
        <is>
          <t>Ligação real à AGT (assinatura JWS/RS256, submissão em rede)</t>
        </is>
      </c>
      <c r="D44" s="19" t="inlineStr">
        <is>
          <t>Pendente</t>
        </is>
      </c>
      <c r="E44" s="19" t="inlineStr">
        <is>
          <t>Alta</t>
        </is>
      </c>
      <c r="F44" s="18" t="inlineStr">
        <is>
          <t>Depende do certificado do programa e credenciais oficiais da AGT.</t>
        </is>
      </c>
    </row>
    <row r="45">
      <c r="A45" s="17" t="n">
        <v>44</v>
      </c>
      <c r="B45" s="18" t="inlineStr">
        <is>
          <t>Sprint 6 — Faturação &amp; Fiscalidade (AGT)</t>
        </is>
      </c>
      <c r="C45" s="18" t="inlineStr">
        <is>
          <t>Notas de crédito por linha (hoje só por valor único)</t>
        </is>
      </c>
      <c r="D45" s="19" t="inlineStr">
        <is>
          <t>Pendente</t>
        </is>
      </c>
      <c r="E45" s="19" t="inlineStr">
        <is>
          <t>Baixa</t>
        </is>
      </c>
      <c r="F45" s="18" t="inlineStr">
        <is>
          <t>Decisão de produto em aberto — mudaria o próprio fluxo de crédito.</t>
        </is>
      </c>
    </row>
    <row r="46">
      <c r="A46" s="17" t="n">
        <v>45</v>
      </c>
      <c r="B46" s="18" t="inlineStr">
        <is>
          <t>Sprint 6 — Faturação &amp; Fiscalidade (AGT)</t>
        </is>
      </c>
      <c r="C46" s="18" t="inlineStr">
        <is>
          <t>Fluxo de anulação de documento fiscal (motivo codificado)</t>
        </is>
      </c>
      <c r="D46" s="19" t="inlineStr">
        <is>
          <t>Pendente</t>
        </is>
      </c>
      <c r="E46" s="19" t="inlineStr">
        <is>
          <t>Baixa</t>
        </is>
      </c>
      <c r="F46" s="18" t="inlineStr">
        <is>
          <t>Não existe nenhum fluxo de anulação hoje.</t>
        </is>
      </c>
    </row>
    <row r="47">
      <c r="A47" s="17" t="n">
        <v>46</v>
      </c>
      <c r="B47" s="18" t="inlineStr">
        <is>
          <t>Sprint 6 — Faturação &amp; Fiscalidade (AGT)</t>
        </is>
      </c>
      <c r="C47" s="18" t="inlineStr">
        <is>
          <t>Isenções de IVA reais, taxa reduzida, IEC, Imposto de Selo</t>
        </is>
      </c>
      <c r="D47" s="19" t="inlineStr">
        <is>
          <t>Pendente</t>
        </is>
      </c>
      <c r="E47" s="19" t="inlineStr">
        <is>
          <t>Baixa</t>
        </is>
      </c>
      <c r="F47" s="18" t="inlineStr">
        <is>
          <t>Estrutura de dados pronta; sempre a zero — nenhuma transação real os aciona hoje.</t>
        </is>
      </c>
    </row>
    <row r="48">
      <c r="A48" s="17" t="n">
        <v>47</v>
      </c>
      <c r="B48" s="18" t="inlineStr">
        <is>
          <t>Sprint 6 — Faturação &amp; Fiscalidade (AGT)</t>
        </is>
      </c>
      <c r="C48" s="18" t="inlineStr">
        <is>
          <t>CAE por linha, multi-estabelecimento, regime de contingência</t>
        </is>
      </c>
      <c r="D48" s="19" t="inlineStr">
        <is>
          <t>Pendente</t>
        </is>
      </c>
      <c r="E48" s="19" t="inlineStr">
        <is>
          <t>Baixa</t>
        </is>
      </c>
      <c r="F48" s="18" t="inlineStr">
        <is>
          <t>Fora do âmbito atual — exige ligação real à AGT.</t>
        </is>
      </c>
    </row>
    <row r="49">
      <c r="A49" s="17" t="n">
        <v>48</v>
      </c>
      <c r="B49" s="18" t="inlineStr">
        <is>
          <t>Sprint 7 — Página Institucional &amp; Marketing</t>
        </is>
      </c>
      <c r="C49" s="18" t="inlineStr">
        <is>
          <t>Homepage corporativa pública com identidade de marca</t>
        </is>
      </c>
      <c r="D49" s="19" t="inlineStr">
        <is>
          <t>Concluído</t>
        </is>
      </c>
      <c r="E49" s="19" t="inlineStr">
        <is>
          <t>—</t>
        </is>
      </c>
      <c r="F49" s="18" t="inlineStr">
        <is>
          <t>Hero, estatísticas, setores, rede humana, FAQ.</t>
        </is>
      </c>
    </row>
    <row r="50">
      <c r="A50" s="17" t="n">
        <v>49</v>
      </c>
      <c r="B50" s="18" t="inlineStr">
        <is>
          <t>Sprint 7 — Página Institucional &amp; Marketing</t>
        </is>
      </c>
      <c r="C50" s="18" t="inlineStr">
        <is>
          <t>Estatísticas públicas da plataforma (dados reais, não fictícios)</t>
        </is>
      </c>
      <c r="D50" s="19" t="inlineStr">
        <is>
          <t>Concluído</t>
        </is>
      </c>
      <c r="E50" s="19" t="inlineStr">
        <is>
          <t>—</t>
        </is>
      </c>
      <c r="F50" s="18" t="inlineStr">
        <is>
          <t>Endpoint público + secção na homepage.</t>
        </is>
      </c>
    </row>
    <row r="51">
      <c r="A51" s="17" t="n">
        <v>50</v>
      </c>
      <c r="B51" s="18" t="inlineStr">
        <is>
          <t>Sprint 7 — Página Institucional &amp; Marketing</t>
        </is>
      </c>
      <c r="C51" s="18" t="inlineStr">
        <is>
          <t>Vídeo de demonstração e navegação institucional</t>
        </is>
      </c>
      <c r="D51" s="19" t="inlineStr">
        <is>
          <t>Concluído</t>
        </is>
      </c>
      <c r="E51" s="19" t="inlineStr">
        <is>
          <t>—</t>
        </is>
      </c>
      <c r="F51" s="18" t="inlineStr">
        <is>
          <t>Parcerias, Notícias, Carreiras, Recursos, Termos, Privacidade.</t>
        </is>
      </c>
    </row>
    <row r="52">
      <c r="A52" s="17" t="n">
        <v>51</v>
      </c>
      <c r="B52" s="18" t="inlineStr">
        <is>
          <t>Sprint 7 — Página Institucional &amp; Marketing</t>
        </is>
      </c>
      <c r="C52" s="18" t="inlineStr">
        <is>
          <t>Internacionalização completa (Português, Inglês, Francês)</t>
        </is>
      </c>
      <c r="D52" s="19" t="inlineStr">
        <is>
          <t>Concluído</t>
        </is>
      </c>
      <c r="E52" s="19" t="inlineStr">
        <is>
          <t>—</t>
        </is>
      </c>
      <c r="F52" s="18" t="inlineStr">
        <is>
          <t>0 chaves em falta em EN/FR.</t>
        </is>
      </c>
    </row>
    <row r="53">
      <c r="A53" s="17" t="n">
        <v>52</v>
      </c>
      <c r="B53" s="18" t="inlineStr">
        <is>
          <t>Sprint 7 — Página Institucional &amp; Marketing</t>
        </is>
      </c>
      <c r="C53" s="18" t="inlineStr">
        <is>
          <t>Programa Supplier Development (candidatura pública e acompanhamento)</t>
        </is>
      </c>
      <c r="D53" s="19" t="inlineStr">
        <is>
          <t>Concluído</t>
        </is>
      </c>
      <c r="E53" s="19" t="inlineStr">
        <is>
          <t>—</t>
        </is>
      </c>
      <c r="F53" s="18" t="inlineStr">
        <is>
          <t>Aprovação cria a empresa + convite de fundação automaticamente.</t>
        </is>
      </c>
    </row>
    <row r="54">
      <c r="A54" s="17" t="n">
        <v>53</v>
      </c>
      <c r="B54" s="18" t="inlineStr">
        <is>
          <t>Sprint 8 — Documentação</t>
        </is>
      </c>
      <c r="C54" s="18" t="inlineStr">
        <is>
          <t>Manual do Utilizador KIXIMA (.docx)</t>
        </is>
      </c>
      <c r="D54" s="19" t="inlineStr">
        <is>
          <t>Concluído</t>
        </is>
      </c>
      <c r="E54" s="19" t="inlineStr">
        <is>
          <t>—</t>
        </is>
      </c>
      <c r="F54" s="18" t="inlineStr">
        <is>
          <t>23 capítulos — todas as personas e transações.</t>
        </is>
      </c>
    </row>
    <row r="55">
      <c r="A55" s="17" t="n">
        <v>54</v>
      </c>
      <c r="B55" s="18" t="inlineStr">
        <is>
          <t>Sprint 8 — Documentação</t>
        </is>
      </c>
      <c r="C55" s="18" t="inlineStr">
        <is>
          <t>Guia Visual do Utilizador (.docx, captura de ecrã por página)</t>
        </is>
      </c>
      <c r="D55" s="19" t="inlineStr">
        <is>
          <t>Concluído</t>
        </is>
      </c>
      <c r="E55" s="19" t="inlineStr">
        <is>
          <t>—</t>
        </is>
      </c>
      <c r="F55" s="18" t="inlineStr">
        <is>
          <t>75 páginas cobertas, organizadas por perfil.</t>
        </is>
      </c>
    </row>
    <row r="56">
      <c r="A56" s="17" t="n">
        <v>55</v>
      </c>
      <c r="B56" s="18" t="inlineStr">
        <is>
          <t>Sprint 8 — Documentação</t>
        </is>
      </c>
      <c r="C56" s="18" t="inlineStr">
        <is>
          <t>Guia de Ambiente de Teste (AMBIENTE_TESTE.md)</t>
        </is>
      </c>
      <c r="D56" s="19" t="inlineStr">
        <is>
          <t>Concluído</t>
        </is>
      </c>
      <c r="E56" s="19" t="inlineStr">
        <is>
          <t>—</t>
        </is>
      </c>
      <c r="F56" s="18" t="inlineStr">
        <is>
          <t>Infraestrutura isolada para piloto com até 50 utilizadores.</t>
        </is>
      </c>
    </row>
    <row r="57">
      <c r="A57" s="17" t="n">
        <v>56</v>
      </c>
      <c r="B57" s="18" t="inlineStr">
        <is>
          <t>Sprint 8 — Documentação</t>
        </is>
      </c>
      <c r="C57" s="18" t="inlineStr">
        <is>
          <t>Product Backlog único, por Sprint, com progresso (este ficheiro)</t>
        </is>
      </c>
      <c r="D57" s="19" t="inlineStr">
        <is>
          <t>Concluído</t>
        </is>
      </c>
      <c r="E57" s="19" t="inlineStr">
        <is>
          <t>—</t>
        </is>
      </c>
      <c r="F57" s="18" t="inlineStr">
        <is>
          <t>—</t>
        </is>
      </c>
    </row>
    <row r="58">
      <c r="A58" s="17" t="n">
        <v>57</v>
      </c>
      <c r="B58" s="18" t="inlineStr">
        <is>
          <t>Sprint 9 — Ambiente de Teste &amp; Lançamento</t>
        </is>
      </c>
      <c r="C58" s="18" t="inlineStr">
        <is>
          <t>Infraestrutura do ambiente de teste (Supabase + Render "kixima-teste", isolados da produção)</t>
        </is>
      </c>
      <c r="D58" s="19" t="inlineStr">
        <is>
          <t>Concluído</t>
        </is>
      </c>
      <c r="E58" s="19" t="inlineStr">
        <is>
          <t>—</t>
        </is>
      </c>
      <c r="F58" s="18" t="inlineStr">
        <is>
          <t>—</t>
        </is>
      </c>
    </row>
    <row r="59">
      <c r="A59" s="17" t="n">
        <v>58</v>
      </c>
      <c r="B59" s="18" t="inlineStr">
        <is>
          <t>Sprint 9 — Ambiente de Teste &amp; Lançamento</t>
        </is>
      </c>
      <c r="C59" s="18" t="inlineStr">
        <is>
          <t>Ligação estável à base de dados do ambiente de teste</t>
        </is>
      </c>
      <c r="D59" s="19" t="inlineStr">
        <is>
          <t>Concluído</t>
        </is>
      </c>
      <c r="E59" s="19" t="inlineStr">
        <is>
          <t>—</t>
        </is>
      </c>
      <c r="F59" s="18" t="inlineStr">
        <is>
          <t>Resolvido: erro de prepared statement do pooler de transação — corrigido usando o pooler de sessão (porta 5432).</t>
        </is>
      </c>
    </row>
    <row r="60">
      <c r="A60" s="17" t="n">
        <v>59</v>
      </c>
      <c r="B60" s="18" t="inlineStr">
        <is>
          <t>Sprint 9 — Ambiente de Teste &amp; Lançamento</t>
        </is>
      </c>
      <c r="C60" s="18" t="inlineStr">
        <is>
          <t>Criar a conta do Administrador do Sistema no ambiente de teste</t>
        </is>
      </c>
      <c r="D60" s="19" t="inlineStr">
        <is>
          <t>Concluído</t>
        </is>
      </c>
      <c r="E60" s="19" t="inlineStr">
        <is>
          <t>—</t>
        </is>
      </c>
      <c r="F60" s="18" t="inlineStr">
        <is>
          <t>Criada via Shell do Render depois de corrigir a DATABASE_URL para o pooler de sessão (porta 5432).</t>
        </is>
      </c>
    </row>
    <row r="61">
      <c r="A61" s="17" t="n">
        <v>60</v>
      </c>
      <c r="B61" s="18" t="inlineStr">
        <is>
          <t>Sprint 9 — Ambiente de Teste &amp; Lançamento</t>
        </is>
      </c>
      <c r="C61" s="18" t="inlineStr">
        <is>
          <t>Envio de email real a funcionar (Brevo) no ambiente de teste</t>
        </is>
      </c>
      <c r="D61" s="19" t="inlineStr">
        <is>
          <t>Concluído</t>
        </is>
      </c>
      <c r="E61" s="19" t="inlineStr">
        <is>
          <t>—</t>
        </is>
      </c>
      <c r="F61" s="18" t="inlineStr">
        <is>
          <t>Confirmado: convites e recuperação de senha já chegam aos destinatários.</t>
        </is>
      </c>
    </row>
    <row r="62">
      <c r="A62" s="17" t="n">
        <v>61</v>
      </c>
      <c r="B62" s="18" t="inlineStr">
        <is>
          <t>Sprint 9 — Ambiente de Teste &amp; Lançamento</t>
        </is>
      </c>
      <c r="C62" s="18" t="inlineStr">
        <is>
          <t>Armazenamento persistente de imagens (Supabase Storage / S3)</t>
        </is>
      </c>
      <c r="D62" s="19" t="inlineStr">
        <is>
          <t>Concluído</t>
        </is>
      </c>
      <c r="E62" s="19" t="inlineStr">
        <is>
          <t>—</t>
        </is>
      </c>
      <c r="F62" s="18" t="inlineStr">
        <is>
          <t>Bucket product-images criado e ligado via STORAGE_PROVIDER=s3 no Render.</t>
        </is>
      </c>
    </row>
    <row r="63">
      <c r="A63" s="17" t="n">
        <v>62</v>
      </c>
      <c r="B63" s="18" t="inlineStr">
        <is>
          <t>Sprint 9 — Ambiente de Teste &amp; Lançamento</t>
        </is>
      </c>
      <c r="C63" s="18" t="inlineStr">
        <is>
          <t>Bucket privado e cópia de segurança automática agendada</t>
        </is>
      </c>
      <c r="D63" s="19" t="inlineStr">
        <is>
          <t>Concluído</t>
        </is>
      </c>
      <c r="E63" s="19" t="inlineStr">
        <is>
          <t>—</t>
        </is>
      </c>
      <c r="F63" s="18" t="inlineStr">
        <is>
          <t>Bucket kixima-backups (privado) criado; "Fazer cópia agora" confirmado com sucesso na Prontidão.</t>
        </is>
      </c>
    </row>
    <row r="64">
      <c r="A64" s="17" t="n">
        <v>63</v>
      </c>
      <c r="B64" s="18" t="inlineStr">
        <is>
          <t>Sprint 9 — Ambiente de Teste &amp; Lançamento</t>
        </is>
      </c>
      <c r="C64" s="18" t="inlineStr">
        <is>
          <t>Ensaio de restauro de uma cópia de segurança</t>
        </is>
      </c>
      <c r="D64" s="19" t="inlineStr">
        <is>
          <t>Concluído</t>
        </is>
      </c>
      <c r="E64" s="19" t="inlineStr">
        <is>
          <t>—</t>
        </is>
      </c>
      <c r="F64" s="18" t="inlineStr">
        <is>
          <t>npm run backup:restore-test — restauro fiel, 22 linhas repostas, 0 divergências.</t>
        </is>
      </c>
    </row>
    <row r="65">
      <c r="A65" s="17" t="n">
        <v>64</v>
      </c>
      <c r="B65" s="18" t="inlineStr">
        <is>
          <t>Sprint 9 — Ambiente de Teste &amp; Lançamento</t>
        </is>
      </c>
      <c r="C65" s="18" t="inlineStr">
        <is>
          <t>Piloto com até 50 utilizadores reais</t>
        </is>
      </c>
      <c r="D65" s="19" t="inlineStr">
        <is>
          <t>Em Curso</t>
        </is>
      </c>
      <c r="E65" s="19" t="inlineStr">
        <is>
          <t>Alta</t>
        </is>
      </c>
      <c r="F65" s="18" t="inlineStr">
        <is>
          <t>Primeiros utilizadores reais já convidados; falta completar até aos 50.</t>
        </is>
      </c>
    </row>
    <row r="66">
      <c r="A66" s="17" t="n">
        <v>65</v>
      </c>
      <c r="B66" s="18" t="inlineStr">
        <is>
          <t>Sprint 9 — Ambiente de Teste &amp; Lançamento</t>
        </is>
      </c>
      <c r="C66" s="18" t="inlineStr">
        <is>
          <t>Data-limite para 2FA obrigatória (MFA_ENFORCE_FROM)</t>
        </is>
      </c>
      <c r="D66" s="19" t="inlineStr">
        <is>
          <t>Em Curso</t>
        </is>
      </c>
      <c r="E66" s="19" t="inlineStr">
        <is>
          <t>Média</t>
        </is>
      </c>
      <c r="F66" s="18" t="inlineStr">
        <is>
          <t>Data acordada: 2026-09-14. Falta definir a variável no Render para produzir efeito.</t>
        </is>
      </c>
    </row>
    <row r="67">
      <c r="A67" s="17" t="n">
        <v>66</v>
      </c>
      <c r="B67" s="18" t="inlineStr">
        <is>
          <t>Sprint 9 — Ambiente de Teste &amp; Lançamento</t>
        </is>
      </c>
      <c r="C67" s="18" t="inlineStr">
        <is>
          <t>Conta bancária das subscrições (KIXIMA_BANCO_IBAN)</t>
        </is>
      </c>
      <c r="D67" s="19" t="inlineStr">
        <is>
          <t>Pendente</t>
        </is>
      </c>
      <c r="E67" s="19" t="inlineStr">
        <is>
          <t>Alta</t>
        </is>
      </c>
      <c r="F67" s="18" t="inlineStr">
        <is>
          <t>Adiado a pedido do utilizador — dados bancários ainda por definir. Retomar antes do lançamento real.</t>
        </is>
      </c>
    </row>
    <row r="68">
      <c r="A68" s="17" t="n">
        <v>67</v>
      </c>
      <c r="B68" s="18" t="inlineStr">
        <is>
          <t>Sprint 9 — Ambiente de Teste &amp; Lançamento</t>
        </is>
      </c>
      <c r="C68" s="18" t="inlineStr">
        <is>
          <t>NIF da KIXIMA e certificado do programa junto da AGT</t>
        </is>
      </c>
      <c r="D68" s="19" t="inlineStr">
        <is>
          <t>Pendente</t>
        </is>
      </c>
      <c r="E68" s="19" t="inlineStr">
        <is>
          <t>Alta</t>
        </is>
      </c>
      <c r="F68" s="18" t="inlineStr">
        <is>
          <t>Adiado a pedido do utilizador — processo administrativo/regulatório junto da AGT, ainda por iniciar ou confirmar.</t>
        </is>
      </c>
    </row>
    <row r="69">
      <c r="A69" s="17" t="n">
        <v>68</v>
      </c>
      <c r="B69" s="18" t="inlineStr">
        <is>
          <t>Sprint 9 — Ambiente de Teste &amp; Lançamento</t>
        </is>
      </c>
      <c r="C69" s="18" t="inlineStr">
        <is>
          <t>Série de faturação certificada por cada fornecedor real</t>
        </is>
      </c>
      <c r="D69" s="19" t="inlineStr">
        <is>
          <t>Pendente</t>
        </is>
      </c>
      <c r="E69" s="19" t="inlineStr">
        <is>
          <t>Média</t>
        </is>
      </c>
      <c r="F69" s="18" t="inlineStr">
        <is>
          <t>Tarefa recorrente (não de configuração única): atribuir ao aprovar cada novo fornecedor. Ambiente ainda vazio — sem fornecedores reais aprovados.</t>
        </is>
      </c>
    </row>
    <row r="70">
      <c r="A70" s="17" t="n">
        <v>69</v>
      </c>
      <c r="B70" s="18" t="inlineStr">
        <is>
          <t>Sprint 9 — Ambiente de Teste &amp; Lançamento</t>
        </is>
      </c>
      <c r="C70" s="18" t="inlineStr">
        <is>
          <t>Domínio próprio (ex.: app.kixima.co.ao)</t>
        </is>
      </c>
      <c r="D70" s="19" t="inlineStr">
        <is>
          <t>Pendente</t>
        </is>
      </c>
      <c r="E70" s="19" t="inlineStr">
        <is>
          <t>Baixa</t>
        </is>
      </c>
      <c r="F70" s="18" t="inlineStr">
        <is>
          <t>Opcional — atualizar APP_URL depois de ligado.</t>
        </is>
      </c>
    </row>
    <row r="71">
      <c r="A71" s="17" t="n">
        <v>70</v>
      </c>
      <c r="B71" s="18" t="inlineStr">
        <is>
          <t>Sprint 9 — Ambiente de Teste &amp; Lançamento</t>
        </is>
      </c>
      <c r="C71" s="18" t="inlineStr">
        <is>
          <t>Rastreio de erros em produção (Sentry)</t>
        </is>
      </c>
      <c r="D71" s="19" t="inlineStr">
        <is>
          <t>Pendente</t>
        </is>
      </c>
      <c r="E71" s="19" t="inlineStr">
        <is>
          <t>Baixa</t>
        </is>
      </c>
      <c r="F71" s="18" t="inlineStr">
        <is>
          <t>Opcional, recomendado antes de abrir a operadoras.</t>
        </is>
      </c>
    </row>
  </sheetData>
  <conditionalFormatting sqref="D2:D71">
    <cfRule type="cellIs" priority="1" operator="equal" dxfId="0">
      <formula>"Concluído"</formula>
    </cfRule>
    <cfRule type="cellIs" priority="2" operator="equal" dxfId="1">
      <formula>"Em Curso"</formula>
    </cfRule>
    <cfRule type="cellIs" priority="3" operator="equal" dxfId="2">
      <formula>"Pendente"</formula>
    </cfRule>
  </conditionalFormatting>
  <conditionalFormatting sqref="E2:E71">
    <cfRule type="cellIs" priority="4" operator="equal" dxfId="2">
      <formula>"Alta"</formula>
    </cfRule>
    <cfRule type="cellIs" priority="5" operator="equal" dxfId="3">
      <formula>"Média"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2026-08-31T17:58:07Z</dcterms:created>
  <dcterms:modified xmlns:dcterms="http://purl.org/dc/terms/" xmlns:xsi="http://www.w3.org/2001/XMLSchema-instance" xsi:type="dcterms:W3CDTF">2026-08-31T17:58:07Z</dcterms:modified>
</cp:coreProperties>
</file>